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be8413abe0725b/Desktop/"/>
    </mc:Choice>
  </mc:AlternateContent>
  <xr:revisionPtr revIDLastSave="0" documentId="8_{173F4F79-7551-406F-BC76-780C9573F6F5}" xr6:coauthVersionLast="47" xr6:coauthVersionMax="47" xr10:uidLastSave="{00000000-0000-0000-0000-000000000000}"/>
  <bookViews>
    <workbookView xWindow="-120" yWindow="-120" windowWidth="24240" windowHeight="13140" xr2:uid="{FB6E6A87-99B7-4FCC-B8D0-74ADC2D98EE5}"/>
  </bookViews>
  <sheets>
    <sheet name="chain ladder" sheetId="1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V30" i="1" s="1"/>
  <c r="G25" i="1"/>
  <c r="U31" i="1" s="1"/>
  <c r="G24" i="1"/>
  <c r="T32" i="1" s="1"/>
  <c r="G23" i="1"/>
  <c r="S33" i="1" s="1"/>
  <c r="V6" i="1"/>
  <c r="U7" i="1"/>
  <c r="U8" i="1" s="1"/>
  <c r="U9" i="1" s="1"/>
  <c r="U10" i="1" s="1"/>
  <c r="U11" i="1" s="1"/>
  <c r="U12" i="1" s="1"/>
  <c r="U13" i="1" s="1"/>
  <c r="U14" i="1" s="1"/>
  <c r="U15" i="1" s="1"/>
  <c r="Q25" i="1"/>
  <c r="Q26" i="1" s="1"/>
  <c r="Q27" i="1" s="1"/>
  <c r="Q28" i="1" s="1"/>
  <c r="Q29" i="1" s="1"/>
  <c r="Q30" i="1" s="1"/>
  <c r="Q31" i="1" s="1"/>
  <c r="Q32" i="1" s="1"/>
  <c r="Q33" i="1" s="1"/>
  <c r="S23" i="1"/>
  <c r="T23" i="1" s="1"/>
  <c r="U23" i="1" s="1"/>
  <c r="V23" i="1" s="1"/>
  <c r="G27" i="1"/>
  <c r="W29" i="1" s="1"/>
  <c r="G31" i="1"/>
  <c r="AA25" i="1" s="1"/>
  <c r="V7" i="1" s="1"/>
  <c r="G30" i="1"/>
  <c r="G29" i="1"/>
  <c r="Y27" i="1" s="1"/>
  <c r="G28" i="1"/>
  <c r="X28" i="1" s="1"/>
  <c r="B9" i="1"/>
  <c r="B10" i="1" s="1"/>
  <c r="B11" i="1" s="1"/>
  <c r="B12" i="1" s="1"/>
  <c r="B13" i="1" s="1"/>
  <c r="B14" i="1" s="1"/>
  <c r="B15" i="1" s="1"/>
  <c r="B16" i="1" s="1"/>
  <c r="B17" i="1" s="1"/>
  <c r="D7" i="1"/>
  <c r="E7" i="1" s="1"/>
  <c r="F7" i="1" s="1"/>
  <c r="G7" i="1" s="1"/>
  <c r="U32" i="1" l="1"/>
  <c r="V32" i="1" s="1"/>
  <c r="W32" i="1" s="1"/>
  <c r="X32" i="1" s="1"/>
  <c r="Y32" i="1" s="1"/>
  <c r="Z32" i="1" s="1"/>
  <c r="AA32" i="1" s="1"/>
  <c r="V14" i="1" s="1"/>
  <c r="V31" i="1"/>
  <c r="W31" i="1" s="1"/>
  <c r="X31" i="1" s="1"/>
  <c r="Y31" i="1" s="1"/>
  <c r="Z31" i="1" s="1"/>
  <c r="AA31" i="1" s="1"/>
  <c r="V13" i="1" s="1"/>
  <c r="W30" i="1"/>
  <c r="X30" i="1" s="1"/>
  <c r="Y30" i="1" s="1"/>
  <c r="Z30" i="1" s="1"/>
  <c r="AA30" i="1" s="1"/>
  <c r="V12" i="1" s="1"/>
  <c r="Y28" i="1"/>
  <c r="Z28" i="1" s="1"/>
  <c r="AA28" i="1" s="1"/>
  <c r="V10" i="1" s="1"/>
  <c r="X29" i="1"/>
  <c r="Y29" i="1" s="1"/>
  <c r="Z29" i="1" s="1"/>
  <c r="AA29" i="1" s="1"/>
  <c r="V11" i="1" s="1"/>
  <c r="T33" i="1"/>
  <c r="U33" i="1" s="1"/>
  <c r="V33" i="1" s="1"/>
  <c r="W33" i="1" s="1"/>
  <c r="X33" i="1" s="1"/>
  <c r="Y33" i="1" s="1"/>
  <c r="Z33" i="1" s="1"/>
  <c r="AA33" i="1" s="1"/>
  <c r="V15" i="1" s="1"/>
  <c r="Z27" i="1"/>
  <c r="AA27" i="1" s="1"/>
  <c r="V9" i="1" s="1"/>
  <c r="Z26" i="1"/>
  <c r="AA26" i="1" s="1"/>
  <c r="V8" i="1" s="1"/>
  <c r="V16" i="1" l="1"/>
</calcChain>
</file>

<file path=xl/sharedStrings.xml><?xml version="1.0" encoding="utf-8"?>
<sst xmlns="http://schemas.openxmlformats.org/spreadsheetml/2006/main" count="21" uniqueCount="19">
  <si>
    <t>CHAIN   LADDER     RESERVING</t>
  </si>
  <si>
    <t>ACCIDENT YEAR</t>
  </si>
  <si>
    <t>Development Year</t>
  </si>
  <si>
    <t>working in 000's</t>
  </si>
  <si>
    <t xml:space="preserve">Year 0 &amp; 1 </t>
  </si>
  <si>
    <t>Year 1 &amp; 2</t>
  </si>
  <si>
    <t xml:space="preserve">Year 2 &amp; 3 </t>
  </si>
  <si>
    <t xml:space="preserve">Year 3 &amp; 4 </t>
  </si>
  <si>
    <t>Future values</t>
  </si>
  <si>
    <t>IBNR</t>
  </si>
  <si>
    <t>Year 4 &amp; 5</t>
  </si>
  <si>
    <t xml:space="preserve">Year 5 &amp; 6 </t>
  </si>
  <si>
    <t>Year 6 &amp; 7</t>
  </si>
  <si>
    <t xml:space="preserve">Year 7 &amp; 8 </t>
  </si>
  <si>
    <t xml:space="preserve">Year 8 &amp; 9 </t>
  </si>
  <si>
    <t>Development Factor between</t>
  </si>
  <si>
    <t>YEAR</t>
  </si>
  <si>
    <t>TOTAL</t>
  </si>
  <si>
    <t>&lt;&lt;&lt;&lt;&lt;&lt;&lt;&lt;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</si>
</sst>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0" fontId="6" fillId="0" borderId="0" xfId="0" applyFont="1"/>
    <xf numFmtId="0" fontId="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3" borderId="0" xfId="2" applyNumberFormat="1" applyAlignment="1">
      <alignment horizontal="center" vertical="center"/>
    </xf>
    <xf numFmtId="2" fontId="2" fillId="3" borderId="0" xfId="2" applyNumberForma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1" applyAlignment="1">
      <alignment horizontal="center"/>
    </xf>
    <xf numFmtId="0" fontId="1" fillId="2" borderId="1" xfId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79375</xdr:colOff>
      <xdr:row>25</xdr:row>
      <xdr:rowOff>85725</xdr:rowOff>
    </xdr:from>
    <xdr:to>
      <xdr:col>6</xdr:col>
      <xdr:colOff>117475</xdr:colOff>
      <xdr:row>27</xdr:row>
      <xdr:rowOff>189357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1BA5C560-0EA7-8E8A-E12F-D14D2A00A225}"/>
            </a:ext>
          </a:extLst>
        </xdr:cNvPr>
        <xdr:cNvSpPr/>
      </xdr:nvSpPr>
      <xdr:spPr>
        <a:xfrm>
          <a:off x="3152775" y="5089525"/>
          <a:ext cx="647700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210437</xdr:colOff>
      <xdr:row>24</xdr:row>
      <xdr:rowOff>88606</xdr:rowOff>
    </xdr:from>
    <xdr:to>
      <xdr:col>14</xdr:col>
      <xdr:colOff>121832</xdr:colOff>
      <xdr:row>27</xdr:row>
      <xdr:rowOff>88605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1DA8125-4F11-3772-0B41-A9C08507373C}"/>
            </a:ext>
          </a:extLst>
        </xdr:cNvPr>
        <xdr:cNvSpPr/>
      </xdr:nvSpPr>
      <xdr:spPr>
        <a:xfrm>
          <a:off x="5703925" y="4840030"/>
          <a:ext cx="2957180" cy="56485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BA20-ED6B-4F6B-886E-C46A01EA51BF}">
  <dimension ref="A2:AA44"/>
  <sheetViews>
    <sheetView tabSelected="1" zoomScaleNormal="100" workbookViewId="0">
      <selection activeCell="J14" sqref="J14"/>
    </sheetView>
  </sheetViews>
  <sheetFormatPr defaultRowHeight="15" x14ac:dyDescent="0.25"/>
  <cols>
    <col min="1" max="1" width="10" customWidth="1"/>
    <col min="3" max="3" width="7.85546875" customWidth="1"/>
    <col min="4" max="4" width="10.140625" customWidth="1"/>
    <col min="5" max="5" width="8.85546875" customWidth="1"/>
  </cols>
  <sheetData>
    <row r="2" spans="1:23" ht="15" customHeight="1" x14ac:dyDescent="0.25">
      <c r="J2" s="22" t="s">
        <v>0</v>
      </c>
      <c r="K2" s="22"/>
      <c r="L2" s="22"/>
      <c r="M2" s="22"/>
      <c r="N2" s="22"/>
      <c r="O2" s="22"/>
    </row>
    <row r="3" spans="1:23" ht="28.5" x14ac:dyDescent="0.25">
      <c r="A3" s="2"/>
      <c r="B3" s="2"/>
      <c r="C3" s="2"/>
      <c r="J3" s="22"/>
      <c r="K3" s="22"/>
      <c r="L3" s="22"/>
      <c r="M3" s="22"/>
      <c r="N3" s="22"/>
      <c r="O3" s="22"/>
    </row>
    <row r="5" spans="1:23" ht="15.75" x14ac:dyDescent="0.25">
      <c r="E5" s="5"/>
      <c r="G5" s="7"/>
      <c r="K5" s="6" t="s">
        <v>3</v>
      </c>
      <c r="U5" s="13" t="s">
        <v>16</v>
      </c>
      <c r="V5" s="13" t="s">
        <v>9</v>
      </c>
    </row>
    <row r="6" spans="1:23" ht="15.75" x14ac:dyDescent="0.25">
      <c r="F6" s="23" t="s">
        <v>2</v>
      </c>
      <c r="G6" s="23"/>
      <c r="T6" s="12"/>
      <c r="U6" s="3">
        <v>2015</v>
      </c>
      <c r="V6" s="17">
        <f>AA24-AA24</f>
        <v>0</v>
      </c>
      <c r="W6" s="12"/>
    </row>
    <row r="7" spans="1:23" x14ac:dyDescent="0.25">
      <c r="A7" s="20" t="s">
        <v>1</v>
      </c>
      <c r="B7" s="20"/>
      <c r="C7" s="8">
        <v>0</v>
      </c>
      <c r="D7" s="8">
        <f>C7+1</f>
        <v>1</v>
      </c>
      <c r="E7" s="8">
        <f t="shared" ref="E7:G7" si="0">D7+1</f>
        <v>2</v>
      </c>
      <c r="F7" s="8">
        <f t="shared" si="0"/>
        <v>3</v>
      </c>
      <c r="G7" s="8">
        <f t="shared" si="0"/>
        <v>4</v>
      </c>
      <c r="H7" s="8">
        <v>5</v>
      </c>
      <c r="I7" s="8">
        <v>6</v>
      </c>
      <c r="J7" s="8">
        <v>7</v>
      </c>
      <c r="K7" s="8">
        <v>8</v>
      </c>
      <c r="L7" s="8">
        <v>9</v>
      </c>
      <c r="M7" s="8"/>
      <c r="N7" s="8"/>
      <c r="U7" s="3">
        <f>U6+1</f>
        <v>2016</v>
      </c>
      <c r="V7" s="14">
        <f>AA25-Z25</f>
        <v>2.1450924608818696</v>
      </c>
    </row>
    <row r="8" spans="1:23" x14ac:dyDescent="0.25">
      <c r="A8" s="8"/>
      <c r="B8" s="8">
        <v>2015</v>
      </c>
      <c r="C8" s="4">
        <v>245</v>
      </c>
      <c r="D8" s="4">
        <v>412</v>
      </c>
      <c r="E8" s="4">
        <v>521</v>
      </c>
      <c r="F8" s="4">
        <v>598</v>
      </c>
      <c r="G8" s="4">
        <v>642</v>
      </c>
      <c r="H8" s="4">
        <v>671</v>
      </c>
      <c r="I8" s="4">
        <v>689</v>
      </c>
      <c r="J8" s="4">
        <v>698</v>
      </c>
      <c r="K8" s="4">
        <v>703</v>
      </c>
      <c r="L8" s="4">
        <v>705</v>
      </c>
      <c r="M8" s="4"/>
      <c r="N8" s="4"/>
      <c r="O8" s="4"/>
      <c r="U8" s="3">
        <f t="shared" ref="U8:U15" si="1">U7+1</f>
        <v>2017</v>
      </c>
      <c r="V8" s="14">
        <f>AA26-Y26</f>
        <v>8.0256537044809875</v>
      </c>
    </row>
    <row r="9" spans="1:23" x14ac:dyDescent="0.25">
      <c r="A9" s="8"/>
      <c r="B9" s="8">
        <f>B8+1</f>
        <v>2016</v>
      </c>
      <c r="C9" s="4">
        <v>268</v>
      </c>
      <c r="D9" s="4">
        <v>445</v>
      </c>
      <c r="E9" s="4">
        <v>567</v>
      </c>
      <c r="F9" s="4">
        <v>642</v>
      </c>
      <c r="G9" s="4">
        <v>689</v>
      </c>
      <c r="H9" s="4">
        <v>718</v>
      </c>
      <c r="I9" s="4">
        <v>738</v>
      </c>
      <c r="J9" s="4">
        <v>749</v>
      </c>
      <c r="K9" s="4">
        <v>754</v>
      </c>
      <c r="L9" s="4"/>
      <c r="M9" s="4"/>
      <c r="N9" s="4"/>
      <c r="U9" s="3">
        <f t="shared" si="1"/>
        <v>2018</v>
      </c>
      <c r="V9" s="14">
        <f>AA27-X27</f>
        <v>21.673340104334898</v>
      </c>
    </row>
    <row r="10" spans="1:23" x14ac:dyDescent="0.25">
      <c r="A10" s="8"/>
      <c r="B10" s="8">
        <f t="shared" ref="B10:B17" si="2">B9+1</f>
        <v>2017</v>
      </c>
      <c r="C10" s="4">
        <v>291</v>
      </c>
      <c r="D10" s="4">
        <v>478</v>
      </c>
      <c r="E10" s="4">
        <v>612</v>
      </c>
      <c r="F10" s="4">
        <v>698</v>
      </c>
      <c r="G10" s="4">
        <v>751</v>
      </c>
      <c r="H10" s="4">
        <v>784</v>
      </c>
      <c r="I10" s="4">
        <v>808</v>
      </c>
      <c r="J10" s="4">
        <v>821</v>
      </c>
      <c r="K10" s="4"/>
      <c r="L10" s="4"/>
      <c r="M10" s="4"/>
      <c r="N10" s="4"/>
      <c r="U10" s="3">
        <f t="shared" si="1"/>
        <v>2019</v>
      </c>
      <c r="V10" s="14">
        <f>AA28-W28</f>
        <v>49.698448488583153</v>
      </c>
    </row>
    <row r="11" spans="1:23" x14ac:dyDescent="0.25">
      <c r="A11" s="8"/>
      <c r="B11" s="8">
        <f t="shared" si="2"/>
        <v>2018</v>
      </c>
      <c r="C11" s="4">
        <v>312</v>
      </c>
      <c r="D11" s="4">
        <v>512</v>
      </c>
      <c r="E11" s="4">
        <v>658</v>
      </c>
      <c r="F11" s="4">
        <v>751</v>
      </c>
      <c r="G11" s="4">
        <v>812</v>
      </c>
      <c r="H11" s="4">
        <v>852</v>
      </c>
      <c r="I11" s="4">
        <v>878</v>
      </c>
      <c r="J11" s="4"/>
      <c r="K11" s="4"/>
      <c r="L11" s="4"/>
      <c r="M11" s="4"/>
      <c r="N11" s="4"/>
      <c r="U11" s="3">
        <f t="shared" si="1"/>
        <v>2020</v>
      </c>
      <c r="V11" s="14">
        <f>AA29-V29</f>
        <v>95.302885884106558</v>
      </c>
    </row>
    <row r="12" spans="1:23" x14ac:dyDescent="0.25">
      <c r="A12" s="8"/>
      <c r="B12" s="8">
        <f t="shared" si="2"/>
        <v>2019</v>
      </c>
      <c r="C12" s="4">
        <v>334</v>
      </c>
      <c r="D12" s="4">
        <v>548</v>
      </c>
      <c r="E12" s="4">
        <v>702</v>
      </c>
      <c r="F12" s="4">
        <v>802</v>
      </c>
      <c r="G12" s="4">
        <v>869</v>
      </c>
      <c r="H12" s="4">
        <v>912</v>
      </c>
      <c r="I12" s="4"/>
      <c r="J12" s="4"/>
      <c r="K12" s="4"/>
      <c r="L12" s="4"/>
      <c r="M12" s="4"/>
      <c r="N12" s="4"/>
      <c r="U12" s="3">
        <f t="shared" si="1"/>
        <v>2021</v>
      </c>
      <c r="V12" s="14">
        <f>AA30-U30</f>
        <v>171.72796901207289</v>
      </c>
    </row>
    <row r="13" spans="1:23" x14ac:dyDescent="0.25">
      <c r="A13" s="8"/>
      <c r="B13" s="8">
        <f t="shared" si="2"/>
        <v>2020</v>
      </c>
      <c r="C13" s="4">
        <v>356</v>
      </c>
      <c r="D13" s="4">
        <v>582</v>
      </c>
      <c r="E13" s="4">
        <v>745</v>
      </c>
      <c r="F13" s="4">
        <v>852</v>
      </c>
      <c r="G13" s="4">
        <v>923</v>
      </c>
      <c r="U13" s="3">
        <f t="shared" si="1"/>
        <v>2022</v>
      </c>
      <c r="V13" s="14">
        <f>AA31-T31</f>
        <v>299.82450595591513</v>
      </c>
    </row>
    <row r="14" spans="1:23" x14ac:dyDescent="0.25">
      <c r="A14" s="8"/>
      <c r="B14" s="8">
        <f t="shared" si="2"/>
        <v>2021</v>
      </c>
      <c r="C14" s="4">
        <v>378</v>
      </c>
      <c r="D14" s="4">
        <v>615</v>
      </c>
      <c r="E14" s="4">
        <v>789</v>
      </c>
      <c r="F14" s="4">
        <v>902</v>
      </c>
      <c r="U14" s="3">
        <f t="shared" si="1"/>
        <v>2023</v>
      </c>
      <c r="V14" s="14">
        <f>AA32-S32</f>
        <v>510.3366978950919</v>
      </c>
    </row>
    <row r="15" spans="1:23" x14ac:dyDescent="0.25">
      <c r="A15" s="8"/>
      <c r="B15" s="8">
        <f t="shared" si="2"/>
        <v>2022</v>
      </c>
      <c r="C15" s="4">
        <v>401</v>
      </c>
      <c r="D15" s="4">
        <v>652</v>
      </c>
      <c r="E15" s="4">
        <v>835</v>
      </c>
      <c r="U15" s="3">
        <f t="shared" si="1"/>
        <v>2024</v>
      </c>
      <c r="V15" s="14">
        <f>AA33-R33</f>
        <v>836.38539410779777</v>
      </c>
    </row>
    <row r="16" spans="1:23" ht="15.75" thickBot="1" x14ac:dyDescent="0.3">
      <c r="A16" s="8"/>
      <c r="B16" s="8">
        <f t="shared" si="2"/>
        <v>2023</v>
      </c>
      <c r="C16" s="4">
        <v>425</v>
      </c>
      <c r="D16" s="4">
        <v>691</v>
      </c>
      <c r="E16" s="4"/>
      <c r="U16" s="18" t="s">
        <v>17</v>
      </c>
      <c r="V16" s="19">
        <f>SUM(V6:V15)</f>
        <v>1995.119987613265</v>
      </c>
      <c r="W16" t="s">
        <v>18</v>
      </c>
    </row>
    <row r="17" spans="1:27" x14ac:dyDescent="0.25">
      <c r="A17" s="8"/>
      <c r="B17" s="8">
        <f t="shared" si="2"/>
        <v>2024</v>
      </c>
      <c r="C17" s="4">
        <v>452</v>
      </c>
      <c r="D17" s="4"/>
      <c r="E17" s="4"/>
    </row>
    <row r="18" spans="1:27" x14ac:dyDescent="0.25">
      <c r="A18" s="8"/>
      <c r="B18" s="8"/>
      <c r="C18" s="4"/>
      <c r="D18" s="4"/>
      <c r="E18" s="4"/>
    </row>
    <row r="19" spans="1:27" x14ac:dyDescent="0.25">
      <c r="A19" s="8"/>
      <c r="B19" s="8"/>
      <c r="C19" s="4"/>
      <c r="D19" s="4"/>
      <c r="E19" s="4"/>
    </row>
    <row r="20" spans="1:27" ht="15.75" x14ac:dyDescent="0.25">
      <c r="A20" s="8"/>
      <c r="B20" s="8"/>
      <c r="C20" s="4"/>
      <c r="D20" s="4"/>
      <c r="E20" s="4"/>
      <c r="F20" s="4"/>
      <c r="G20" s="4"/>
      <c r="H20" s="4"/>
      <c r="U20" s="21" t="s">
        <v>8</v>
      </c>
      <c r="V20" s="21"/>
      <c r="W20" s="21"/>
      <c r="X20" s="21"/>
    </row>
    <row r="21" spans="1:27" ht="15.75" x14ac:dyDescent="0.25">
      <c r="A21" s="3"/>
      <c r="I21" s="1"/>
      <c r="L21" s="9"/>
    </row>
    <row r="22" spans="1:27" x14ac:dyDescent="0.25">
      <c r="D22" s="10" t="s">
        <v>15</v>
      </c>
      <c r="E22" s="10"/>
      <c r="F22" s="10"/>
      <c r="G22" s="10"/>
      <c r="J22" s="10"/>
      <c r="K22" s="10"/>
      <c r="N22" s="23"/>
      <c r="O22" s="23"/>
      <c r="U22" s="23" t="s">
        <v>2</v>
      </c>
      <c r="V22" s="23"/>
      <c r="W22" s="23"/>
      <c r="X22" s="23"/>
    </row>
    <row r="23" spans="1:27" x14ac:dyDescent="0.25">
      <c r="E23" t="s">
        <v>4</v>
      </c>
      <c r="G23" s="11">
        <f>SUM(D8:D16)/SUM(C8:C16)</f>
        <v>1.6395348837209303</v>
      </c>
      <c r="P23" s="20" t="s">
        <v>1</v>
      </c>
      <c r="Q23" s="20"/>
      <c r="R23" s="8">
        <v>0</v>
      </c>
      <c r="S23" s="8">
        <f>R23+1</f>
        <v>1</v>
      </c>
      <c r="T23" s="8">
        <f t="shared" ref="T23:V23" si="3">S23+1</f>
        <v>2</v>
      </c>
      <c r="U23" s="8">
        <f t="shared" si="3"/>
        <v>3</v>
      </c>
      <c r="V23" s="8">
        <f t="shared" si="3"/>
        <v>4</v>
      </c>
      <c r="W23" s="8">
        <v>5</v>
      </c>
      <c r="X23" s="8">
        <v>6</v>
      </c>
      <c r="Y23" s="8">
        <v>7</v>
      </c>
      <c r="Z23" s="8">
        <v>8</v>
      </c>
      <c r="AA23" s="8">
        <v>9</v>
      </c>
    </row>
    <row r="24" spans="1:27" x14ac:dyDescent="0.25">
      <c r="E24" t="s">
        <v>5</v>
      </c>
      <c r="G24" s="11">
        <f>SUM(E8:E15)/SUM(D8:D15)</f>
        <v>1.2792177191328935</v>
      </c>
      <c r="P24" s="8"/>
      <c r="Q24" s="8">
        <v>2015</v>
      </c>
      <c r="R24" s="4">
        <v>245</v>
      </c>
      <c r="S24" s="4">
        <v>412</v>
      </c>
      <c r="T24" s="4">
        <v>521</v>
      </c>
      <c r="U24" s="4">
        <v>598</v>
      </c>
      <c r="V24" s="4">
        <v>642</v>
      </c>
      <c r="W24" s="4">
        <v>671</v>
      </c>
      <c r="X24" s="4">
        <v>689</v>
      </c>
      <c r="Y24" s="4">
        <v>698</v>
      </c>
      <c r="Z24" s="4">
        <v>703</v>
      </c>
      <c r="AA24" s="4">
        <v>705</v>
      </c>
    </row>
    <row r="25" spans="1:27" x14ac:dyDescent="0.25">
      <c r="E25" t="s">
        <v>6</v>
      </c>
      <c r="G25" s="11">
        <f>SUM(F8:F14)/SUM(E8:E14)</f>
        <v>1.1417065737919025</v>
      </c>
      <c r="P25" s="8"/>
      <c r="Q25" s="8">
        <f>Q24+1</f>
        <v>2016</v>
      </c>
      <c r="R25" s="4">
        <v>268</v>
      </c>
      <c r="S25" s="4">
        <v>445</v>
      </c>
      <c r="T25" s="4">
        <v>567</v>
      </c>
      <c r="U25" s="4">
        <v>642</v>
      </c>
      <c r="V25" s="4">
        <v>689</v>
      </c>
      <c r="W25" s="4">
        <v>718</v>
      </c>
      <c r="X25" s="4">
        <v>738</v>
      </c>
      <c r="Y25" s="4">
        <v>749</v>
      </c>
      <c r="Z25" s="4">
        <v>754</v>
      </c>
      <c r="AA25" s="15">
        <f t="shared" ref="AA25:AA33" si="4">Z25*$G$31</f>
        <v>756.14509246088187</v>
      </c>
    </row>
    <row r="26" spans="1:27" x14ac:dyDescent="0.25">
      <c r="E26" t="s">
        <v>7</v>
      </c>
      <c r="G26" s="11">
        <f>SUM(G8:G13)/SUM(F8:F13)</f>
        <v>1.0789776652083813</v>
      </c>
      <c r="P26" s="8"/>
      <c r="Q26" s="8">
        <f t="shared" ref="Q26:Q33" si="5">Q25+1</f>
        <v>2017</v>
      </c>
      <c r="R26" s="4">
        <v>291</v>
      </c>
      <c r="S26" s="4">
        <v>478</v>
      </c>
      <c r="T26" s="4">
        <v>612</v>
      </c>
      <c r="U26" s="4">
        <v>698</v>
      </c>
      <c r="V26" s="4">
        <v>751</v>
      </c>
      <c r="W26" s="4">
        <v>784</v>
      </c>
      <c r="X26" s="4">
        <v>808</v>
      </c>
      <c r="Y26" s="4">
        <v>821</v>
      </c>
      <c r="Z26" s="15">
        <f t="shared" ref="Z26:Z33" si="6">$G$30*Y26</f>
        <v>826.67380787836908</v>
      </c>
      <c r="AA26" s="15">
        <f t="shared" si="4"/>
        <v>829.02565370448099</v>
      </c>
    </row>
    <row r="27" spans="1:27" x14ac:dyDescent="0.25">
      <c r="E27" t="s">
        <v>10</v>
      </c>
      <c r="G27" s="11">
        <f>SUM(H8:H12)/SUM(G8:G12)</f>
        <v>1.0462397023651342</v>
      </c>
      <c r="P27" s="8"/>
      <c r="Q27" s="8">
        <f t="shared" si="5"/>
        <v>2018</v>
      </c>
      <c r="R27" s="4">
        <v>312</v>
      </c>
      <c r="S27" s="4">
        <v>512</v>
      </c>
      <c r="T27" s="4">
        <v>658</v>
      </c>
      <c r="U27" s="4">
        <v>751</v>
      </c>
      <c r="V27" s="4">
        <v>812</v>
      </c>
      <c r="W27" s="4">
        <v>852</v>
      </c>
      <c r="X27" s="4">
        <v>878</v>
      </c>
      <c r="Y27" s="15">
        <f t="shared" ref="Y27:Y33" si="7">X27*$G$29</f>
        <v>890.96375838926167</v>
      </c>
      <c r="Z27" s="15">
        <f t="shared" si="6"/>
        <v>897.12107530971275</v>
      </c>
      <c r="AA27" s="15">
        <f t="shared" si="4"/>
        <v>899.6733401043349</v>
      </c>
    </row>
    <row r="28" spans="1:27" x14ac:dyDescent="0.25">
      <c r="E28" t="s">
        <v>11</v>
      </c>
      <c r="G28" s="11">
        <f>SUM(I8:I11)/SUM(H8:H11)</f>
        <v>1.0290909090909091</v>
      </c>
      <c r="P28" s="8"/>
      <c r="Q28" s="8">
        <f t="shared" si="5"/>
        <v>2019</v>
      </c>
      <c r="R28" s="4">
        <v>334</v>
      </c>
      <c r="S28" s="4">
        <v>548</v>
      </c>
      <c r="T28" s="4">
        <v>702</v>
      </c>
      <c r="U28" s="4">
        <v>802</v>
      </c>
      <c r="V28" s="4">
        <v>869</v>
      </c>
      <c r="W28" s="4">
        <v>912</v>
      </c>
      <c r="X28" s="15">
        <f t="shared" ref="X28:X33" si="8">W28*$G$28</f>
        <v>938.53090909090906</v>
      </c>
      <c r="Y28" s="15">
        <f t="shared" si="7"/>
        <v>952.38841244661376</v>
      </c>
      <c r="Z28" s="15">
        <f t="shared" si="6"/>
        <v>958.97022593967949</v>
      </c>
      <c r="AA28" s="15">
        <f t="shared" si="4"/>
        <v>961.69844848858315</v>
      </c>
    </row>
    <row r="29" spans="1:27" ht="15.75" x14ac:dyDescent="0.25">
      <c r="E29" t="s">
        <v>12</v>
      </c>
      <c r="G29" s="11">
        <f>SUM(J8:J10)/SUM(I8:I10)</f>
        <v>1.0147651006711409</v>
      </c>
      <c r="H29" s="1"/>
      <c r="I29" s="1"/>
      <c r="M29" s="1"/>
      <c r="P29" s="8"/>
      <c r="Q29" s="8">
        <f t="shared" si="5"/>
        <v>2020</v>
      </c>
      <c r="R29" s="4">
        <v>356</v>
      </c>
      <c r="S29" s="4">
        <v>582</v>
      </c>
      <c r="T29" s="4">
        <v>745</v>
      </c>
      <c r="U29" s="4">
        <v>852</v>
      </c>
      <c r="V29" s="4">
        <v>923</v>
      </c>
      <c r="W29" s="16">
        <f>V29*$G$27</f>
        <v>965.67924528301887</v>
      </c>
      <c r="X29" s="15">
        <f t="shared" si="8"/>
        <v>993.77173241852483</v>
      </c>
      <c r="Y29" s="15">
        <f t="shared" si="7"/>
        <v>1008.4448720918184</v>
      </c>
      <c r="Z29" s="15">
        <f t="shared" si="6"/>
        <v>1015.4140833709603</v>
      </c>
      <c r="AA29" s="15">
        <f t="shared" si="4"/>
        <v>1018.3028858841066</v>
      </c>
    </row>
    <row r="30" spans="1:27" x14ac:dyDescent="0.25">
      <c r="E30" t="s">
        <v>13</v>
      </c>
      <c r="G30" s="11">
        <f>SUM(K8:K9)/SUM(J8:J9)</f>
        <v>1.0069108500345543</v>
      </c>
      <c r="P30" s="8"/>
      <c r="Q30" s="8">
        <f t="shared" si="5"/>
        <v>2021</v>
      </c>
      <c r="R30" s="4">
        <v>378</v>
      </c>
      <c r="S30" s="4">
        <v>615</v>
      </c>
      <c r="T30" s="4">
        <v>789</v>
      </c>
      <c r="U30" s="4">
        <v>902</v>
      </c>
      <c r="V30" s="16">
        <f>U30*$G$26</f>
        <v>973.23785401795999</v>
      </c>
      <c r="W30" s="16">
        <f>V30*$G$27</f>
        <v>1018.2400827182324</v>
      </c>
      <c r="X30" s="15">
        <f t="shared" si="8"/>
        <v>1047.8616123973081</v>
      </c>
      <c r="Y30" s="15">
        <f t="shared" si="7"/>
        <v>1063.3333945937784</v>
      </c>
      <c r="Z30" s="15">
        <f t="shared" si="6"/>
        <v>1070.6819322205495</v>
      </c>
      <c r="AA30" s="15">
        <f t="shared" si="4"/>
        <v>1073.7279690120729</v>
      </c>
    </row>
    <row r="31" spans="1:27" x14ac:dyDescent="0.25">
      <c r="E31" t="s">
        <v>14</v>
      </c>
      <c r="G31" s="11">
        <f>L8/K8</f>
        <v>1.0028449502133712</v>
      </c>
      <c r="P31" s="8"/>
      <c r="Q31" s="8">
        <f t="shared" si="5"/>
        <v>2022</v>
      </c>
      <c r="R31" s="4">
        <v>401</v>
      </c>
      <c r="S31" s="4">
        <v>652</v>
      </c>
      <c r="T31" s="4">
        <v>835</v>
      </c>
      <c r="U31" s="16">
        <f>T31*$G$25</f>
        <v>953.32498911623861</v>
      </c>
      <c r="V31" s="16">
        <f>U31*$G$26</f>
        <v>1028.6163709414448</v>
      </c>
      <c r="W31" s="16">
        <f>V31*$G$27</f>
        <v>1076.1792857816815</v>
      </c>
      <c r="X31" s="15">
        <f t="shared" si="8"/>
        <v>1107.4863195498758</v>
      </c>
      <c r="Y31" s="15">
        <f t="shared" si="7"/>
        <v>1123.8384665499411</v>
      </c>
      <c r="Z31" s="15">
        <f t="shared" si="6"/>
        <v>1131.6051456553312</v>
      </c>
      <c r="AA31" s="15">
        <f t="shared" si="4"/>
        <v>1134.8245059559151</v>
      </c>
    </row>
    <row r="32" spans="1:27" x14ac:dyDescent="0.25">
      <c r="D32" s="11"/>
      <c r="Q32" s="8">
        <f>Q31+1</f>
        <v>2023</v>
      </c>
      <c r="R32" s="4">
        <v>425</v>
      </c>
      <c r="S32" s="4">
        <v>691</v>
      </c>
      <c r="T32" s="15">
        <f>S32*$G$24</f>
        <v>883.93944392082938</v>
      </c>
      <c r="U32" s="16">
        <f t="shared" ref="U32:U33" si="9">T32*$G$25</f>
        <v>1009.1994739583697</v>
      </c>
      <c r="V32" s="16">
        <f>U32*$G$26</f>
        <v>1088.9036921411284</v>
      </c>
      <c r="W32" s="16">
        <f>V32*$G$27</f>
        <v>1139.25427477003</v>
      </c>
      <c r="X32" s="15">
        <f t="shared" si="8"/>
        <v>1172.3962173087943</v>
      </c>
      <c r="Y32" s="15">
        <f t="shared" si="7"/>
        <v>1189.7067654838236</v>
      </c>
      <c r="Z32" s="15">
        <f t="shared" si="6"/>
        <v>1197.9286505251769</v>
      </c>
      <c r="AA32" s="15">
        <f t="shared" si="4"/>
        <v>1201.3366978950919</v>
      </c>
    </row>
    <row r="33" spans="1:27" x14ac:dyDescent="0.25">
      <c r="Q33" s="8">
        <f t="shared" si="5"/>
        <v>2024</v>
      </c>
      <c r="R33" s="4">
        <v>452</v>
      </c>
      <c r="S33" s="15">
        <f>R33*$G$23</f>
        <v>741.06976744186045</v>
      </c>
      <c r="T33" s="15">
        <f>S33*$G$24</f>
        <v>947.98957762532052</v>
      </c>
      <c r="U33" s="16">
        <f t="shared" si="9"/>
        <v>1082.3259326610375</v>
      </c>
      <c r="V33" s="16">
        <f>U33*$G$26</f>
        <v>1167.8055078170901</v>
      </c>
      <c r="W33" s="16">
        <f>V33*$G$27</f>
        <v>1221.8044869189166</v>
      </c>
      <c r="X33" s="15">
        <f t="shared" si="8"/>
        <v>1257.3478901747396</v>
      </c>
      <c r="Y33" s="15">
        <f t="shared" si="7"/>
        <v>1275.9127583518164</v>
      </c>
      <c r="Z33" s="15">
        <f t="shared" si="6"/>
        <v>1284.7304000819602</v>
      </c>
      <c r="AA33" s="15">
        <f t="shared" si="4"/>
        <v>1288.3853941077978</v>
      </c>
    </row>
    <row r="34" spans="1:27" x14ac:dyDescent="0.25">
      <c r="B34" s="9"/>
      <c r="C34" s="9"/>
      <c r="D34" s="10"/>
      <c r="E34" s="10"/>
    </row>
    <row r="35" spans="1:27" x14ac:dyDescent="0.25">
      <c r="B35" s="3"/>
      <c r="C35" s="14"/>
    </row>
    <row r="36" spans="1:27" x14ac:dyDescent="0.25">
      <c r="A36" s="10"/>
      <c r="B36" s="3"/>
      <c r="C36" s="14"/>
    </row>
    <row r="37" spans="1:27" x14ac:dyDescent="0.25">
      <c r="B37" s="3"/>
      <c r="C37" s="14"/>
    </row>
    <row r="38" spans="1:27" x14ac:dyDescent="0.25">
      <c r="B38" s="3"/>
      <c r="C38" s="14"/>
    </row>
    <row r="39" spans="1:27" x14ac:dyDescent="0.25">
      <c r="B39" s="3"/>
      <c r="C39" s="14"/>
    </row>
    <row r="40" spans="1:27" x14ac:dyDescent="0.25">
      <c r="B40" s="3"/>
    </row>
    <row r="41" spans="1:27" x14ac:dyDescent="0.25">
      <c r="B41" s="3"/>
    </row>
    <row r="42" spans="1:27" x14ac:dyDescent="0.25">
      <c r="B42" s="3"/>
    </row>
    <row r="43" spans="1:27" x14ac:dyDescent="0.25">
      <c r="B43" s="3"/>
    </row>
    <row r="44" spans="1:27" x14ac:dyDescent="0.25">
      <c r="B44" s="3"/>
    </row>
  </sheetData>
  <mergeCells count="7">
    <mergeCell ref="P23:Q23"/>
    <mergeCell ref="U20:X20"/>
    <mergeCell ref="J2:O3"/>
    <mergeCell ref="A7:B7"/>
    <mergeCell ref="F6:G6"/>
    <mergeCell ref="U22:X22"/>
    <mergeCell ref="N22:O22"/>
  </mergeCells>
  <pageMargins left="0.7" right="0.7" top="0.75" bottom="0.75" header="0.3" footer="0.3"/>
  <pageSetup paperSize="9" orientation="portrait" horizontalDpi="0" verticalDpi="0" r:id="rId1"/>
  <ignoredErrors>
    <ignoredError sqref="G23:G30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chain ladder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Agarwal</dc:creator>
  <cp:lastModifiedBy>Pragya Agarwal</cp:lastModifiedBy>
  <dcterms:created xsi:type="dcterms:W3CDTF">2026-10-20T07:53:44Z</dcterms:created>
  <dcterms:modified xsi:type="dcterms:W3CDTF">2026-10-20T13:27:26Z</dcterms:modified>
</cp:coreProperties>
</file>